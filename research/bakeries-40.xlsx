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s" sheetId="1" state="visible" r:id="rId3"/>
    <sheet name="Summary" sheetId="2" state="visible" r:id="rId4"/>
  </sheets>
  <definedNames>
    <definedName function="false" hidden="true" localSheetId="0" name="_xlnm._FilterDatabase" vbProcedure="false">Stores!$A$1:$Q$43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<sst xmlns="http://schemas.openxmlformats.org/spreadsheetml/2006/main" count="512" uniqueCount="288">
  <si>
    <t xml:space="preserve">list</t>
  </si>
  <si>
    <t xml:space="preserve">store_name</t>
  </si>
  <si>
    <t xml:space="preserve">website</t>
  </si>
  <si>
    <t xml:space="preserve">country</t>
  </si>
  <si>
    <t xml:space="preserve">city</t>
  </si>
  <si>
    <t xml:space="preserve">business_type</t>
  </si>
  <si>
    <t xml:space="preserve">shopify_proof</t>
  </si>
  <si>
    <t xml:space="preserve">date_app</t>
  </si>
  <si>
    <t xml:space="preserve">date_evidence</t>
  </si>
  <si>
    <t xml:space="preserve">top_products</t>
  </si>
  <si>
    <t xml:space="preserve">contact_email</t>
  </si>
  <si>
    <t xml:space="preserve">contact_form_url</t>
  </si>
  <si>
    <t xml:space="preserve">instagram</t>
  </si>
  <si>
    <t xml:space="preserve">owner_first_name</t>
  </si>
  <si>
    <t xml:space="preserve">order_volume_hint</t>
  </si>
  <si>
    <t xml:space="preserve">notes</t>
  </si>
  <si>
    <t xml:space="preserve">confidence</t>
  </si>
  <si>
    <t xml:space="preserve">main</t>
  </si>
  <si>
    <t xml:space="preserve">Muddy's Bake Shop</t>
  </si>
  <si>
    <t xml:space="preserve">https://muddysbakeshop.com</t>
  </si>
  <si>
    <t xml:space="preserve">United States</t>
  </si>
  <si>
    <t xml:space="preserve">Memphis, TN</t>
  </si>
  <si>
    <t xml:space="preserve">bakery</t>
  </si>
  <si>
    <t xml:space="preserve">App Store review (Zapiet Pickup + Delivery)</t>
  </si>
  <si>
    <t xml:space="preserve">Zapiet</t>
  </si>
  <si>
    <t xml:space="preserve">Zapiet Pickup + Delivery review says the app coordinates their preorder pickups (review date not visible to me)</t>
  </si>
  <si>
    <t xml:space="preserve">Press lists 2497 Broad Ave; walk-ins plus online preorders. Website seen only in press (styleblueprint.com), not opened. Products, email and Instagram not checked.</t>
  </si>
  <si>
    <t xml:space="preserve">medium</t>
  </si>
  <si>
    <t xml:space="preserve">Dessert Gallery Bakery &amp; Cafe</t>
  </si>
  <si>
    <t xml:space="preserve">Houston, TX</t>
  </si>
  <si>
    <t xml:space="preserve">bakery and cafe</t>
  </si>
  <si>
    <t xml:space="preserve">Zapiet Pickup + Delivery review praising a fast fix (review date not visible to me)</t>
  </si>
  <si>
    <t xml:space="preserve">2 shops (Kirby Dr and The Woodlands); also sells on Goldbelly</t>
  </si>
  <si>
    <t xml:space="preserve">Website not found in my search results; check Houston listings. Products not checked.</t>
  </si>
  <si>
    <t xml:space="preserve">Clay's Bakery</t>
  </si>
  <si>
    <t xml:space="preserve">Berwyn, PA (likely)</t>
  </si>
  <si>
    <t xml:space="preserve">Zapiet review says Zapiet helped set holiday pickup hours (review date not visible to me)</t>
  </si>
  <si>
    <t xml:space="preserve">Probably Clay's Creative Corner Bakery, 700 Lancaster Ave, Berwyn PA (6abc, Zola), but the match to the reviewer is unverified. Website not found.</t>
  </si>
  <si>
    <t xml:space="preserve">low</t>
  </si>
  <si>
    <t xml:space="preserve">Fujiya Hawaii</t>
  </si>
  <si>
    <t xml:space="preserve">https://fujiyahawaii.com</t>
  </si>
  <si>
    <t xml:space="preserve">Honolulu, HI</t>
  </si>
  <si>
    <t xml:space="preserve">mochi and Japanese sweets shop</t>
  </si>
  <si>
    <t xml:space="preserve">App Store review (Buunto)</t>
  </si>
  <si>
    <t xml:space="preserve">Buunto</t>
  </si>
  <si>
    <t xml:space="preserve">Buunto review from Fujiya Hawaii says the app works well for the business (review date not visible to me)</t>
  </si>
  <si>
    <t xml:space="preserve">chichi dango; fresh fruit mochi; peanut butter mochi; tsumami mochi; red bean mochi; manju</t>
  </si>
  <si>
    <t xml:space="preserve">Shop since 1953; online orders close before big holidays (Hawaii Public Radio, 18 Feb 2026)</t>
  </si>
  <si>
    <t xml:space="preserve">Product names come from press articles (onolicioushawaii, Honolulu Magazine), not from the store. Website taken from press, not opened.</t>
  </si>
  <si>
    <t xml:space="preserve">Calumet Bakery</t>
  </si>
  <si>
    <t xml:space="preserve">https://calumet-bakery.myshopify.com</t>
  </si>
  <si>
    <t xml:space="preserve">Chicago, IL (also Whiting and Lansing)</t>
  </si>
  <si>
    <t xml:space="preserve">myshopify.com address</t>
  </si>
  <si>
    <t xml:space="preserve">date field, app unknown</t>
  </si>
  <si>
    <t xml:space="preserve">Store page says customers must specify the pickup date in the cart; pickup at least 24 hours after order</t>
  </si>
  <si>
    <t xml:space="preserve">paczki; nut rolls; coffee cakes; cookies</t>
  </si>
  <si>
    <t xml:space="preserve">3 shops; family business since 1935; ships nut rolls and cookies</t>
  </si>
  <si>
    <t xml:space="preserve">Product list is from press (nwitimes), not exact store product names. Public site may be calumetbakery.com (from a listing, not checked).</t>
  </si>
  <si>
    <t xml:space="preserve">Balthazar Bakery</t>
  </si>
  <si>
    <t xml:space="preserve">https://balthazar-bakery.myshopify.com</t>
  </si>
  <si>
    <t xml:space="preserve">not verified</t>
  </si>
  <si>
    <t xml:space="preserve">Pre-orders page: pickup only, at least 2 days notice, online orders only. Could not see whether a date picker is used</t>
  </si>
  <si>
    <t xml:space="preserve">City not stated in the snippet I saw. Linked to the Balthazar restaurant brand, check it still counts as independent.</t>
  </si>
  <si>
    <t xml:space="preserve">Mitchell's Ice Cream</t>
  </si>
  <si>
    <t xml:space="preserve">https://mitchellsicecream.myshopify.com</t>
  </si>
  <si>
    <t xml:space="preserve">San Francisco, CA</t>
  </si>
  <si>
    <t xml:space="preserve">ice cream cake maker</t>
  </si>
  <si>
    <t xml:space="preserve">Cake product pages say customers pick a pickup day; earliest pickup is the next day</t>
  </si>
  <si>
    <t xml:space="preserve">Mango Ice Cream Cake; Toasted Almond &amp; Mocha Fudge Ice Cream Cake; 7 inch Round All-Ice Cream Cakes</t>
  </si>
  <si>
    <t xml:space="preserve">Long-running parlor; also on DoorDash and Uber Eats</t>
  </si>
  <si>
    <t xml:space="preserve">Ice cream cakes, not a bakery, but made to order for a chosen day. Public site mitchellsicecream.com (from press).</t>
  </si>
  <si>
    <t xml:space="preserve">PDX Cookie Co</t>
  </si>
  <si>
    <t xml:space="preserve">https://pdx-cookie-co.myshopify.com</t>
  </si>
  <si>
    <t xml:space="preserve">Portland, OR</t>
  </si>
  <si>
    <t xml:space="preserve">cookie bakery</t>
  </si>
  <si>
    <t xml:space="preserve">FAQ says pickup is set at checkout and orders cannot be changed after</t>
  </si>
  <si>
    <t xml:space="preserve">Chocolate Peanut Butter Bomb</t>
  </si>
  <si>
    <t xml:space="preserve">Storefront at 7919 SE Stark St; cookie subscription</t>
  </si>
  <si>
    <t xml:space="preserve">Only one product name found (Willamette Week review). Public site may be pdxcookieco.com.</t>
  </si>
  <si>
    <t xml:space="preserve">The Cake Boutique</t>
  </si>
  <si>
    <t xml:space="preserve">https://the-cake-boutique-nj.myshopify.com</t>
  </si>
  <si>
    <t xml:space="preserve">Mullica Hill, NJ</t>
  </si>
  <si>
    <t xml:space="preserve">custom cake maker</t>
  </si>
  <si>
    <t xml:space="preserve">Homepage says order online and have it ready for pickup; date picker not seen</t>
  </si>
  <si>
    <t xml:space="preserve">Also does wedding cakes, cupcakes, cookies, macarons (Zola listing)</t>
  </si>
  <si>
    <t xml:space="preserve">Owner name appears on Zola, not on the store site, so I left it empty.</t>
  </si>
  <si>
    <t xml:space="preserve">Handmade in a Home</t>
  </si>
  <si>
    <t xml:space="preserve">https://handmade-in-a-home.myshopify.com</t>
  </si>
  <si>
    <t xml:space="preserve">Shafter, CA</t>
  </si>
  <si>
    <t xml:space="preserve">home sourdough bakery</t>
  </si>
  <si>
    <t xml:space="preserve">Homepage: customers choose a date, then order; weekly Thursday pickup 3pm to 7pm</t>
  </si>
  <si>
    <t xml:space="preserve">Very small home bakery</t>
  </si>
  <si>
    <t xml:space="preserve">Products not checked.</t>
  </si>
  <si>
    <t xml:space="preserve">Slate Sourdough</t>
  </si>
  <si>
    <t xml:space="preserve">https://p0s7rx-iz.myshopify.com</t>
  </si>
  <si>
    <t xml:space="preserve">Tulsa, OK</t>
  </si>
  <si>
    <t xml:space="preserve">sourdough bakery</t>
  </si>
  <si>
    <t xml:space="preserve">Homepage has a pre-order section and online orders for pickup; date choice not seen</t>
  </si>
  <si>
    <t xml:space="preserve">The Flying Cupcake</t>
  </si>
  <si>
    <t xml:space="preserve">https://the-flying-cupcake-indy.myshopify.com</t>
  </si>
  <si>
    <t xml:space="preserve">Indianapolis, IN</t>
  </si>
  <si>
    <t xml:space="preserve">cupcake bakery</t>
  </si>
  <si>
    <t xml:space="preserve">Has a Pick Up Today collection and ships jars; future date choice not seen</t>
  </si>
  <si>
    <t xml:space="preserve">Cupcakes-in-a-Jar</t>
  </si>
  <si>
    <t xml:space="preserve">Ships cupcake jars; does not ship Friday to Monday</t>
  </si>
  <si>
    <t xml:space="preserve">Only one product name found.</t>
  </si>
  <si>
    <t xml:space="preserve">dBakers</t>
  </si>
  <si>
    <t xml:space="preserve">https://dbakers.us</t>
  </si>
  <si>
    <t xml:space="preserve">Miami, FL</t>
  </si>
  <si>
    <t xml:space="preserve">Zapiet case study (Zapiet only works on Shopify)</t>
  </si>
  <si>
    <t xml:space="preserve">Zapiet interview: dBakers relies on Zapiet Pickup + Delivery for more than half of its orders (post date not visible to me)</t>
  </si>
  <si>
    <t xml:space="preserve">Has a how-to-order page (dbakers.us/pages/how-to-order). Products not checked.</t>
  </si>
  <si>
    <t xml:space="preserve">Dead King Bread</t>
  </si>
  <si>
    <t xml:space="preserve">https://deadkingbread.myshopify.com</t>
  </si>
  <si>
    <t xml:space="preserve">Philadelphia, PA</t>
  </si>
  <si>
    <t xml:space="preserve">bakery with bread subscription</t>
  </si>
  <si>
    <t xml:space="preserve">Bread subscriptions with pickup or delivery; retail Thu to Sat. Date choice not seen</t>
  </si>
  <si>
    <t xml:space="preserve">Bread subscription</t>
  </si>
  <si>
    <t xml:space="preserve">Past Time Bakery</t>
  </si>
  <si>
    <t xml:space="preserve">https://pasttimebakery.myshopify.com</t>
  </si>
  <si>
    <t xml:space="preserve">Brooklyn, NY</t>
  </si>
  <si>
    <t xml:space="preserve">cookies and custom cakes</t>
  </si>
  <si>
    <t xml:space="preserve">Pickup-only orders; custom cake listed as sold out when crawled</t>
  </si>
  <si>
    <t xml:space="preserve">Check it is still active; custom cake was sold out at crawl time.</t>
  </si>
  <si>
    <t xml:space="preserve">Carol's Cakes</t>
  </si>
  <si>
    <t xml:space="preserve">Canada</t>
  </si>
  <si>
    <t xml:space="preserve">cake maker</t>
  </si>
  <si>
    <t xml:space="preserve">App Store review (Zapiet)</t>
  </si>
  <si>
    <t xml:space="preserve">Zapiet review (app and date not clear in the snippet I saw)</t>
  </si>
  <si>
    <t xml:space="preserve">Website not found yet.</t>
  </si>
  <si>
    <t xml:space="preserve">Felix &amp; Norton</t>
  </si>
  <si>
    <t xml:space="preserve">Montreal, QC (likely)</t>
  </si>
  <si>
    <t xml:space="preserve">Zapiet review (date not visible to me)</t>
  </si>
  <si>
    <t xml:space="preserve">Several shops (unverified)</t>
  </si>
  <si>
    <t xml:space="preserve">Bigger than most; check it still counts as independent. Website not checked.</t>
  </si>
  <si>
    <t xml:space="preserve">Purebread Bakery</t>
  </si>
  <si>
    <t xml:space="preserve">https://purebreadbakery.myshopify.com</t>
  </si>
  <si>
    <t xml:space="preserve">Vancouver, Whistler, Squamish (BC)</t>
  </si>
  <si>
    <t xml:space="preserve">Cakes page: pre-orders need 48 hours, pickup at any of their bakery locations</t>
  </si>
  <si>
    <t xml:space="preserve">Several bakery locations</t>
  </si>
  <si>
    <t xml:space="preserve">Date picker not seen. Products not checked.</t>
  </si>
  <si>
    <t xml:space="preserve">Wild Culture Artisan Bakery</t>
  </si>
  <si>
    <t xml:space="preserve">https://wildcultureartisanbakery.myshopify.com</t>
  </si>
  <si>
    <t xml:space="preserve">Qualicum Beach, BC</t>
  </si>
  <si>
    <t xml:space="preserve">fixed pickup day</t>
  </si>
  <si>
    <t xml:space="preserve">Pre-orders open Sunday 12pm, close Thursday 12pm, for Friday pickup 1pm to 5pm</t>
  </si>
  <si>
    <t xml:space="preserve">One fixed pickup day, so the sheet would cover one day a week. Products not checked.</t>
  </si>
  <si>
    <t xml:space="preserve">Amys Bakehouse</t>
  </si>
  <si>
    <t xml:space="preserve">United Kingdom</t>
  </si>
  <si>
    <t xml:space="preserve">bakery and catering</t>
  </si>
  <si>
    <t xml:space="preserve">App Store review (Zapiet Rates by Zip Code and Product Options)</t>
  </si>
  <si>
    <t xml:space="preserve">Zapiet Rates by Zip Code review says it handles catering deliveries and pickup (date not visible to me)</t>
  </si>
  <si>
    <t xml:space="preserve">Does catering</t>
  </si>
  <si>
    <t xml:space="preserve">HertfordCakeCo</t>
  </si>
  <si>
    <t xml:space="preserve">Hertford (likely from the name)</t>
  </si>
  <si>
    <t xml:space="preserve">Somerset Foodie</t>
  </si>
  <si>
    <t xml:space="preserve">https://somerset-foodie.myshopify.com</t>
  </si>
  <si>
    <t xml:space="preserve">Somerset</t>
  </si>
  <si>
    <t xml:space="preserve">deli and local food delivery</t>
  </si>
  <si>
    <t xml:space="preserve">fixed delivery days</t>
  </si>
  <si>
    <t xml:space="preserve">Delivery FAQ lists delivery windows by village with order deadlines</t>
  </si>
  <si>
    <t xml:space="preserve">Local delivery rounds by village</t>
  </si>
  <si>
    <t xml:space="preserve">Not a bakery; fits as a pre-order food delivery business. Products not checked.</t>
  </si>
  <si>
    <t xml:space="preserve">Singl-End Bakehouse</t>
  </si>
  <si>
    <t xml:space="preserve">https://singl-end-bakehouse.myshopify.com</t>
  </si>
  <si>
    <t xml:space="preserve">Glasgow</t>
  </si>
  <si>
    <t xml:space="preserve">bakehouse and cafe</t>
  </si>
  <si>
    <t xml:space="preserve">Bespoke cakes page: collection only on Friday or Saturday 10am to 3pm, at least 7 days notice</t>
  </si>
  <si>
    <t xml:space="preserve">Cafe plus bakehouse</t>
  </si>
  <si>
    <t xml:space="preserve">Whether a picker or a note is used was not visible. Products not checked.</t>
  </si>
  <si>
    <t xml:space="preserve">Bramble &amp; Crumb</t>
  </si>
  <si>
    <t xml:space="preserve">South London</t>
  </si>
  <si>
    <t xml:space="preserve">artisan bakery</t>
  </si>
  <si>
    <t xml:space="preserve">Zapiet case study: set up delivery zones, pickup windows and scheduling</t>
  </si>
  <si>
    <t xml:space="preserve">Case study claims 40% more local delivery sales (vendor figure)</t>
  </si>
  <si>
    <t xml:space="preserve">Pavilion Bakery</t>
  </si>
  <si>
    <t xml:space="preserve">Newquay, Cornwall</t>
  </si>
  <si>
    <t xml:space="preserve">Dewsign case study (Shopify store with Zapiet)</t>
  </si>
  <si>
    <t xml:space="preserve">Dewsign case study: click and collect built with Shopify, Kosmos POS and Zapiet</t>
  </si>
  <si>
    <t xml:space="preserve">Case study title says 15 years of growth</t>
  </si>
  <si>
    <t xml:space="preserve">Freshly Prepd</t>
  </si>
  <si>
    <t xml:space="preserve">https://freshlyprepd.myshopify.com</t>
  </si>
  <si>
    <t xml:space="preserve">Ireland</t>
  </si>
  <si>
    <t xml:space="preserve">meal prep</t>
  </si>
  <si>
    <t xml:space="preserve">Pickup Monday and Wednesday; delivery ships Sunday for Monday</t>
  </si>
  <si>
    <t xml:space="preserve">Delivers across Ireland</t>
  </si>
  <si>
    <t xml:space="preserve">Fixed days, not a free date choice. Products not checked.</t>
  </si>
  <si>
    <t xml:space="preserve">A Slice of Jodie</t>
  </si>
  <si>
    <t xml:space="preserve">Australia</t>
  </si>
  <si>
    <t xml:space="preserve">App Store review (Zapiet Product Options)</t>
  </si>
  <si>
    <t xml:space="preserve">Zapiet (Product Options only)</t>
  </si>
  <si>
    <t xml:space="preserve">Zapiet Product Options review says the store would not exist without the app; no date app seen</t>
  </si>
  <si>
    <t xml:space="preserve">Product Options is not a date picker, so date choice is unverified. Website not found yet.</t>
  </si>
  <si>
    <t xml:space="preserve">Tanna Sweets</t>
  </si>
  <si>
    <t xml:space="preserve">sweets and desserts</t>
  </si>
  <si>
    <t xml:space="preserve">App Store review (Pickeasy)</t>
  </si>
  <si>
    <t xml:space="preserve">Pickeasy</t>
  </si>
  <si>
    <t xml:space="preserve">Pickeasy review (date not visible to me)</t>
  </si>
  <si>
    <t xml:space="preserve">The Cupcake Room</t>
  </si>
  <si>
    <t xml:space="preserve">Sydney</t>
  </si>
  <si>
    <t xml:space="preserve">Zapiet blog story (Zapiet only works on Shopify)</t>
  </si>
  <si>
    <t xml:space="preserve">Zapiet blog (2021): owner uses per-product prep times and pickup slots</t>
  </si>
  <si>
    <t xml:space="preserve">Owner reported revenue up almost 500% after moving to Shopify (2021, self-reported)</t>
  </si>
  <si>
    <t xml:space="preserve">Story is from 2021; check it is still active. Website not found yet.</t>
  </si>
  <si>
    <t xml:space="preserve">Workout Meals</t>
  </si>
  <si>
    <t xml:space="preserve">https://workoutmeals.myshopify.com</t>
  </si>
  <si>
    <t xml:space="preserve">11pm AEST cutoff for the next delivery; flexible delivery days for subscribers</t>
  </si>
  <si>
    <t xml:space="preserve">Air Fryer Pack</t>
  </si>
  <si>
    <t xml:space="preserve">Delivers to over 3000 suburbs Australia-wide</t>
  </si>
  <si>
    <t xml:space="preserve">Larger than most on this list. Products mostly not checked.</t>
  </si>
  <si>
    <t xml:space="preserve">Clementine Bakery</t>
  </si>
  <si>
    <t xml:space="preserve">https://clementinebakery.myshopify.com</t>
  </si>
  <si>
    <t xml:space="preserve">Yass, NSW</t>
  </si>
  <si>
    <t xml:space="preserve">Collection pages list pickup dates by location, for example pickup from the Yass bakery from 9am</t>
  </si>
  <si>
    <t xml:space="preserve">More than one pickup location</t>
  </si>
  <si>
    <t xml:space="preserve">Butterdream Baking</t>
  </si>
  <si>
    <t xml:space="preserve">https://butterdreambaking.myshopify.com</t>
  </si>
  <si>
    <t xml:space="preserve">Carramar, WA</t>
  </si>
  <si>
    <t xml:space="preserve">cakes and cookies</t>
  </si>
  <si>
    <t xml:space="preserve">Homepage: order online and collect from their Carramar kitchen; date choice not seen</t>
  </si>
  <si>
    <t xml:space="preserve">backup</t>
  </si>
  <si>
    <t xml:space="preserve">Bread by Us</t>
  </si>
  <si>
    <t xml:space="preserve">https://bread-by-us.myshopify.com</t>
  </si>
  <si>
    <t xml:space="preserve">FAQ: at checkout the customer picks one pickup day, Wednesday to Sunday; order by 2pm the day before</t>
  </si>
  <si>
    <t xml:space="preserve">backup: country not confirmed (has an English FAQ page, so may be bilingual).</t>
  </si>
  <si>
    <t xml:space="preserve">Sweet Oven Delights</t>
  </si>
  <si>
    <t xml:space="preserve">https://sweetovendelights.myshopify.com</t>
  </si>
  <si>
    <t xml:space="preserve">cupcakes</t>
  </si>
  <si>
    <t xml:space="preserve">note field only</t>
  </si>
  <si>
    <t xml:space="preserve">Cupcake page asks buyers to type the pickup date in the special instructions box</t>
  </si>
  <si>
    <t xml:space="preserve">Cupcakes</t>
  </si>
  <si>
    <t xml:space="preserve">backup: country not confirmed (prices look like USD); uses a note, not a picker. That still fits PrepDay only if notes can be parsed.</t>
  </si>
  <si>
    <t xml:space="preserve">Flour &amp; Rise</t>
  </si>
  <si>
    <t xml:space="preserve">https://flourandrise.myshopify.com</t>
  </si>
  <si>
    <t xml:space="preserve">roadside sourdough stand</t>
  </si>
  <si>
    <t xml:space="preserve">Preorder windows with one set pickup date, for example pickup on 10/18</t>
  </si>
  <si>
    <t xml:space="preserve">Open 2nd and 4th Sunday</t>
  </si>
  <si>
    <t xml:space="preserve">backup: country not confirmed; very small.</t>
  </si>
  <si>
    <t xml:space="preserve">Jenny's Crust &amp; Crumb</t>
  </si>
  <si>
    <t xml:space="preserve">https://crust-crumb-sourdough-co-nwa.myshopify.com</t>
  </si>
  <si>
    <t xml:space="preserve">Northwest Arkansas</t>
  </si>
  <si>
    <t xml:space="preserve">none</t>
  </si>
  <si>
    <t xml:space="preserve">Pickup date is emailed after the order is reviewed; customer does not choose it</t>
  </si>
  <si>
    <t xml:space="preserve">backup: fails the date-choice rule.</t>
  </si>
  <si>
    <t xml:space="preserve">The Clean Pantry</t>
  </si>
  <si>
    <t xml:space="preserve">https://the-clean-pantry.myshopify.com</t>
  </si>
  <si>
    <t xml:space="preserve">Canada (CAD prices)</t>
  </si>
  <si>
    <t xml:space="preserve">health food store with bakery pre-orders</t>
  </si>
  <si>
    <t xml:space="preserve">Bakery pre-orders ready about a week later; specific date requested in order comments</t>
  </si>
  <si>
    <t xml:space="preserve">backup: country inferred from CAD prices only.</t>
  </si>
  <si>
    <t xml:space="preserve">HalalMeals</t>
  </si>
  <si>
    <t xml:space="preserve">https://halal-meals.myshopify.com</t>
  </si>
  <si>
    <t xml:space="preserve">Ontario and Montreal</t>
  </si>
  <si>
    <t xml:space="preserve">Weekly changing menu; delivery date selector not seen</t>
  </si>
  <si>
    <t xml:space="preserve">Serves Ontario and Montreal</t>
  </si>
  <si>
    <t xml:space="preserve">backup: date choice unverified.</t>
  </si>
  <si>
    <t xml:space="preserve">Betty Bakery</t>
  </si>
  <si>
    <t xml:space="preserve">https://betty-bakery.myshopify.com</t>
  </si>
  <si>
    <t xml:space="preserve">Cakes page: pick up in as little as 2 days</t>
  </si>
  <si>
    <t xml:space="preserve">backup: country unknown.</t>
  </si>
  <si>
    <t xml:space="preserve">Elegant Temptations Bakery</t>
  </si>
  <si>
    <t xml:space="preserve">App Store review (Zapiet Rates by Distance)</t>
  </si>
  <si>
    <t xml:space="preserve">Review of Zapiet Rates by Distance (a delivery rates app, not the date app)</t>
  </si>
  <si>
    <t xml:space="preserve">backup: no website found.</t>
  </si>
  <si>
    <t xml:space="preserve">Cake Bloom</t>
  </si>
  <si>
    <t xml:space="preserve">cake shop</t>
  </si>
  <si>
    <t xml:space="preserve">Shop name seen on a Pickeasy review page</t>
  </si>
  <si>
    <t xml:space="preserve">backup: country and website unknown.</t>
  </si>
  <si>
    <t xml:space="preserve">Hummingbird Bakery</t>
  </si>
  <si>
    <t xml:space="preserve">https://hummingbird-bakery.myshopify.com</t>
  </si>
  <si>
    <t xml:space="preserve">London</t>
  </si>
  <si>
    <t xml:space="preserve">Has a cakes collection; date choice not seen</t>
  </si>
  <si>
    <t xml:space="preserve">Several London shops</t>
  </si>
  <si>
    <t xml:space="preserve">backup: may be too big (small chain).</t>
  </si>
  <si>
    <t xml:space="preserve">PrepDay early access list: counts (formulas read the Stores tab)</t>
  </si>
  <si>
    <t xml:space="preserve">List</t>
  </si>
  <si>
    <t xml:space="preserve">Stores</t>
  </si>
  <si>
    <t xml:space="preserve">Total</t>
  </si>
  <si>
    <t xml:space="preserve">Date app (main list)</t>
  </si>
  <si>
    <t xml:space="preserve">Country (main list)</t>
  </si>
  <si>
    <t xml:space="preserve">New Zealand</t>
  </si>
  <si>
    <t xml:space="preserve">Confidence (main list)</t>
  </si>
  <si>
    <t xml:space="preserve">high</t>
  </si>
  <si>
    <t xml:space="preserve">How to read this file:</t>
  </si>
  <si>
    <t xml:space="preserve">Stores tab: one row per business. Column A says main or backup. Filter with the arrows in row 1.</t>
  </si>
  <si>
    <t xml:space="preserve">Confidence colors: yellow = medium, red = low. No store is high yet, because the store websites could not be opened during research (25 Oct 2026).</t>
  </si>
  <si>
    <t xml:space="preserve">Empty cells were not checked. Nothing was guessed. Fill them by running verify_bakeries.py, then re-import.</t>
  </si>
  <si>
    <t xml:space="preserve">Source of every row: date-app reviews on the Shopify App Store, Zapiet case studies, or myshopify.com store pages.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</si>
</sst>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5FD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  <fill>
      <patternFill patternType="solid">
        <fgColor rgb="FFFFF4CC"/>
        <bgColor rgb="FFEEEEEE"/>
      </patternFill>
    </fill>
    <fill>
      <patternFill patternType="solid">
        <fgColor rgb="FFF8E0E0"/>
        <bgColor rgb="FFEEEEEE"/>
      </patternFill>
    </fill>
    <fill>
      <patternFill patternType="solid">
        <fgColor rgb="FFEEEEEE"/>
        <bgColor rgb="FFF8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B5C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D6"/>
          <bgColor rgb="FF000000"/>
        </patternFill>
      </fill>
    </dxf>
    <dxf>
      <fill>
        <patternFill patternType="solid">
          <fgColor rgb="FFF8E0E0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EEEEE"/>
      <rgbColor rgb="FF660066"/>
      <rgbColor rgb="FFFF8080"/>
      <rgbColor rgb="FF1F5FD6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uddysbakeshop.com/" TargetMode="External"/><Relationship Id="rId2" Type="http://schemas.openxmlformats.org/officeDocument/2006/relationships/hyperlink" Target="https://fujiyahawaii.com/" TargetMode="External"/><Relationship Id="rId3" Type="http://schemas.openxmlformats.org/officeDocument/2006/relationships/hyperlink" Target="https://calumet-bakery.myshopify.com/" TargetMode="External"/><Relationship Id="rId4" Type="http://schemas.openxmlformats.org/officeDocument/2006/relationships/hyperlink" Target="https://balthazar-bakery.myshopify.com/" TargetMode="External"/><Relationship Id="rId5" Type="http://schemas.openxmlformats.org/officeDocument/2006/relationships/hyperlink" Target="https://mitchellsicecream.myshopify.com/" TargetMode="External"/><Relationship Id="rId6" Type="http://schemas.openxmlformats.org/officeDocument/2006/relationships/hyperlink" Target="https://pdx-cookie-co.myshopify.com/" TargetMode="External"/><Relationship Id="rId7" Type="http://schemas.openxmlformats.org/officeDocument/2006/relationships/hyperlink" Target="https://the-cake-boutique-nj.myshopify.com/" TargetMode="External"/><Relationship Id="rId8" Type="http://schemas.openxmlformats.org/officeDocument/2006/relationships/hyperlink" Target="https://handmade-in-a-home.myshopify.com/" TargetMode="External"/><Relationship Id="rId9" Type="http://schemas.openxmlformats.org/officeDocument/2006/relationships/hyperlink" Target="https://p0s7rx-iz.myshopify.com/" TargetMode="External"/><Relationship Id="rId10" Type="http://schemas.openxmlformats.org/officeDocument/2006/relationships/hyperlink" Target="https://the-flying-cupcake-indy.myshopify.com/" TargetMode="External"/><Relationship Id="rId11" Type="http://schemas.openxmlformats.org/officeDocument/2006/relationships/hyperlink" Target="https://dbakers.us/" TargetMode="External"/><Relationship Id="rId12" Type="http://schemas.openxmlformats.org/officeDocument/2006/relationships/hyperlink" Target="https://deadkingbread.myshopify.com/" TargetMode="External"/><Relationship Id="rId13" Type="http://schemas.openxmlformats.org/officeDocument/2006/relationships/hyperlink" Target="https://pasttimebakery.myshopify.com/" TargetMode="External"/><Relationship Id="rId14" Type="http://schemas.openxmlformats.org/officeDocument/2006/relationships/hyperlink" Target="https://purebreadbakery.myshopify.com/" TargetMode="External"/><Relationship Id="rId15" Type="http://schemas.openxmlformats.org/officeDocument/2006/relationships/hyperlink" Target="https://wildcultureartisanbakery.myshopify.com/" TargetMode="External"/><Relationship Id="rId16" Type="http://schemas.openxmlformats.org/officeDocument/2006/relationships/hyperlink" Target="https://somerset-foodie.myshopify.com/" TargetMode="External"/><Relationship Id="rId17" Type="http://schemas.openxmlformats.org/officeDocument/2006/relationships/hyperlink" Target="https://singl-end-bakehouse.myshopify.com/" TargetMode="External"/><Relationship Id="rId18" Type="http://schemas.openxmlformats.org/officeDocument/2006/relationships/hyperlink" Target="https://freshlyprepd.myshopify.com/" TargetMode="External"/><Relationship Id="rId19" Type="http://schemas.openxmlformats.org/officeDocument/2006/relationships/hyperlink" Target="https://workoutmeals.myshopify.com/" TargetMode="External"/><Relationship Id="rId20" Type="http://schemas.openxmlformats.org/officeDocument/2006/relationships/hyperlink" Target="https://clementinebakery.myshopify.com/" TargetMode="External"/><Relationship Id="rId21" Type="http://schemas.openxmlformats.org/officeDocument/2006/relationships/hyperlink" Target="https://butterdreambaking.myshopify.com/" TargetMode="External"/><Relationship Id="rId22" Type="http://schemas.openxmlformats.org/officeDocument/2006/relationships/hyperlink" Target="https://bread-by-us.myshopify.com/" TargetMode="External"/><Relationship Id="rId23" Type="http://schemas.openxmlformats.org/officeDocument/2006/relationships/hyperlink" Target="https://sweetovendelights.myshopify.com/" TargetMode="External"/><Relationship Id="rId24" Type="http://schemas.openxmlformats.org/officeDocument/2006/relationships/hyperlink" Target="https://flourandrise.myshopify.com/" TargetMode="External"/><Relationship Id="rId25" Type="http://schemas.openxmlformats.org/officeDocument/2006/relationships/hyperlink" Target="https://crust-crumb-sourdough-co-nwa.myshopify.com/" TargetMode="External"/><Relationship Id="rId26" Type="http://schemas.openxmlformats.org/officeDocument/2006/relationships/hyperlink" Target="https://the-clean-pantry.myshopify.com/" TargetMode="External"/><Relationship Id="rId27" Type="http://schemas.openxmlformats.org/officeDocument/2006/relationships/hyperlink" Target="https://halal-meals.myshopify.com/" TargetMode="External"/><Relationship Id="rId28" Type="http://schemas.openxmlformats.org/officeDocument/2006/relationships/hyperlink" Target="https://betty-bakery.myshopify.com/" TargetMode="External"/><Relationship Id="rId29" Type="http://schemas.openxmlformats.org/officeDocument/2006/relationships/hyperlink" Target="https://hummingbird-bakery.myshopify.com/" TargetMode="External"/><Relationship Id="rId3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45"/>
    <col collapsed="false" customWidth="true" hidden="false" outlineLevel="0" max="10" min="10" style="0" width="38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28"/>
    <col collapsed="false" customWidth="true" hidden="false" outlineLevel="0" max="16" min="16" style="0" width="48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5.05" hidden="false" customHeight="false" outlineLevel="0" collapsed="false">
      <c r="A2" s="2" t="s">
        <v>17</v>
      </c>
      <c r="B2" s="2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/>
      <c r="L2" s="2"/>
      <c r="M2" s="2"/>
      <c r="N2" s="2"/>
      <c r="O2" s="2"/>
      <c r="P2" s="2" t="s">
        <v>26</v>
      </c>
      <c r="Q2" s="4" t="s">
        <v>27</v>
      </c>
    </row>
    <row r="3" customFormat="false" ht="35.05" hidden="false" customHeight="false" outlineLevel="0" collapsed="false">
      <c r="A3" s="2" t="s">
        <v>17</v>
      </c>
      <c r="B3" s="2" t="s">
        <v>28</v>
      </c>
      <c r="C3" s="2"/>
      <c r="D3" s="2" t="s">
        <v>20</v>
      </c>
      <c r="E3" s="2" t="s">
        <v>29</v>
      </c>
      <c r="F3" s="2" t="s">
        <v>30</v>
      </c>
      <c r="G3" s="2" t="s">
        <v>23</v>
      </c>
      <c r="H3" s="2" t="s">
        <v>24</v>
      </c>
      <c r="I3" s="2" t="s">
        <v>31</v>
      </c>
      <c r="J3" s="2"/>
      <c r="K3" s="2"/>
      <c r="L3" s="2"/>
      <c r="M3" s="2"/>
      <c r="N3" s="2"/>
      <c r="O3" s="2" t="s">
        <v>32</v>
      </c>
      <c r="P3" s="2" t="s">
        <v>33</v>
      </c>
      <c r="Q3" s="4" t="s">
        <v>27</v>
      </c>
    </row>
    <row r="4" customFormat="false" ht="35.05" hidden="false" customHeight="false" outlineLevel="0" collapsed="false">
      <c r="A4" s="2" t="s">
        <v>17</v>
      </c>
      <c r="B4" s="2" t="s">
        <v>34</v>
      </c>
      <c r="C4" s="2"/>
      <c r="D4" s="2" t="s">
        <v>20</v>
      </c>
      <c r="E4" s="2" t="s">
        <v>35</v>
      </c>
      <c r="F4" s="2" t="s">
        <v>22</v>
      </c>
      <c r="G4" s="2" t="s">
        <v>23</v>
      </c>
      <c r="H4" s="2" t="s">
        <v>24</v>
      </c>
      <c r="I4" s="2" t="s">
        <v>36</v>
      </c>
      <c r="J4" s="2"/>
      <c r="K4" s="2"/>
      <c r="L4" s="2"/>
      <c r="M4" s="2"/>
      <c r="N4" s="2"/>
      <c r="O4" s="2"/>
      <c r="P4" s="2" t="s">
        <v>37</v>
      </c>
      <c r="Q4" s="5" t="s">
        <v>38</v>
      </c>
    </row>
    <row r="5" customFormat="false" ht="35.05" hidden="false" customHeight="false" outlineLevel="0" collapsed="false">
      <c r="A5" s="2" t="s">
        <v>17</v>
      </c>
      <c r="B5" s="2" t="s">
        <v>39</v>
      </c>
      <c r="C5" s="3" t="s">
        <v>40</v>
      </c>
      <c r="D5" s="2" t="s">
        <v>20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/>
      <c r="L5" s="2"/>
      <c r="M5" s="2"/>
      <c r="N5" s="2"/>
      <c r="O5" s="2" t="s">
        <v>47</v>
      </c>
      <c r="P5" s="2" t="s">
        <v>48</v>
      </c>
      <c r="Q5" s="4" t="s">
        <v>27</v>
      </c>
    </row>
    <row r="6" customFormat="false" ht="35.05" hidden="false" customHeight="false" outlineLevel="0" collapsed="false">
      <c r="A6" s="2" t="s">
        <v>17</v>
      </c>
      <c r="B6" s="2" t="s">
        <v>49</v>
      </c>
      <c r="C6" s="3" t="s">
        <v>50</v>
      </c>
      <c r="D6" s="2" t="s">
        <v>20</v>
      </c>
      <c r="E6" s="2" t="s">
        <v>51</v>
      </c>
      <c r="F6" s="2" t="s">
        <v>22</v>
      </c>
      <c r="G6" s="2" t="s">
        <v>52</v>
      </c>
      <c r="H6" s="2" t="s">
        <v>53</v>
      </c>
      <c r="I6" s="2" t="s">
        <v>54</v>
      </c>
      <c r="J6" s="2" t="s">
        <v>55</v>
      </c>
      <c r="K6" s="2"/>
      <c r="L6" s="2"/>
      <c r="M6" s="2"/>
      <c r="N6" s="2"/>
      <c r="O6" s="2" t="s">
        <v>56</v>
      </c>
      <c r="P6" s="2" t="s">
        <v>57</v>
      </c>
      <c r="Q6" s="4" t="s">
        <v>27</v>
      </c>
    </row>
    <row r="7" customFormat="false" ht="35.05" hidden="false" customHeight="false" outlineLevel="0" collapsed="false">
      <c r="A7" s="2" t="s">
        <v>17</v>
      </c>
      <c r="B7" s="2" t="s">
        <v>58</v>
      </c>
      <c r="C7" s="3" t="s">
        <v>59</v>
      </c>
      <c r="D7" s="2" t="s">
        <v>20</v>
      </c>
      <c r="E7" s="2"/>
      <c r="F7" s="2" t="s">
        <v>22</v>
      </c>
      <c r="G7" s="2" t="s">
        <v>52</v>
      </c>
      <c r="H7" s="2" t="s">
        <v>60</v>
      </c>
      <c r="I7" s="2" t="s">
        <v>61</v>
      </c>
      <c r="J7" s="2"/>
      <c r="K7" s="2"/>
      <c r="L7" s="2"/>
      <c r="M7" s="2"/>
      <c r="N7" s="2"/>
      <c r="O7" s="2"/>
      <c r="P7" s="2" t="s">
        <v>62</v>
      </c>
      <c r="Q7" s="5" t="s">
        <v>38</v>
      </c>
    </row>
    <row r="8" customFormat="false" ht="35.05" hidden="false" customHeight="false" outlineLevel="0" collapsed="false">
      <c r="A8" s="2" t="s">
        <v>17</v>
      </c>
      <c r="B8" s="2" t="s">
        <v>63</v>
      </c>
      <c r="C8" s="3" t="s">
        <v>64</v>
      </c>
      <c r="D8" s="2" t="s">
        <v>20</v>
      </c>
      <c r="E8" s="2" t="s">
        <v>65</v>
      </c>
      <c r="F8" s="2" t="s">
        <v>66</v>
      </c>
      <c r="G8" s="2" t="s">
        <v>52</v>
      </c>
      <c r="H8" s="2" t="s">
        <v>53</v>
      </c>
      <c r="I8" s="2" t="s">
        <v>67</v>
      </c>
      <c r="J8" s="2" t="s">
        <v>68</v>
      </c>
      <c r="K8" s="2"/>
      <c r="L8" s="2"/>
      <c r="M8" s="2"/>
      <c r="N8" s="2"/>
      <c r="O8" s="2" t="s">
        <v>69</v>
      </c>
      <c r="P8" s="2" t="s">
        <v>70</v>
      </c>
      <c r="Q8" s="4" t="s">
        <v>27</v>
      </c>
    </row>
    <row r="9" customFormat="false" ht="23.85" hidden="false" customHeight="false" outlineLevel="0" collapsed="false">
      <c r="A9" s="2" t="s">
        <v>17</v>
      </c>
      <c r="B9" s="2" t="s">
        <v>71</v>
      </c>
      <c r="C9" s="3" t="s">
        <v>72</v>
      </c>
      <c r="D9" s="2" t="s">
        <v>20</v>
      </c>
      <c r="E9" s="2" t="s">
        <v>73</v>
      </c>
      <c r="F9" s="2" t="s">
        <v>74</v>
      </c>
      <c r="G9" s="2" t="s">
        <v>52</v>
      </c>
      <c r="H9" s="2" t="s">
        <v>53</v>
      </c>
      <c r="I9" s="2" t="s">
        <v>75</v>
      </c>
      <c r="J9" s="2" t="s">
        <v>76</v>
      </c>
      <c r="K9" s="2"/>
      <c r="L9" s="2"/>
      <c r="M9" s="2"/>
      <c r="N9" s="2"/>
      <c r="O9" s="2" t="s">
        <v>77</v>
      </c>
      <c r="P9" s="2" t="s">
        <v>78</v>
      </c>
      <c r="Q9" s="4" t="s">
        <v>27</v>
      </c>
    </row>
    <row r="10" customFormat="false" ht="35.05" hidden="false" customHeight="false" outlineLevel="0" collapsed="false">
      <c r="A10" s="2" t="s">
        <v>17</v>
      </c>
      <c r="B10" s="2" t="s">
        <v>79</v>
      </c>
      <c r="C10" s="3" t="s">
        <v>80</v>
      </c>
      <c r="D10" s="2" t="s">
        <v>20</v>
      </c>
      <c r="E10" s="2" t="s">
        <v>81</v>
      </c>
      <c r="F10" s="2" t="s">
        <v>82</v>
      </c>
      <c r="G10" s="2" t="s">
        <v>52</v>
      </c>
      <c r="H10" s="2" t="s">
        <v>60</v>
      </c>
      <c r="I10" s="2" t="s">
        <v>83</v>
      </c>
      <c r="J10" s="2"/>
      <c r="K10" s="2"/>
      <c r="L10" s="2"/>
      <c r="M10" s="2"/>
      <c r="N10" s="2"/>
      <c r="O10" s="2" t="s">
        <v>84</v>
      </c>
      <c r="P10" s="2" t="s">
        <v>85</v>
      </c>
      <c r="Q10" s="5" t="s">
        <v>38</v>
      </c>
    </row>
    <row r="11" customFormat="false" ht="23.85" hidden="false" customHeight="false" outlineLevel="0" collapsed="false">
      <c r="A11" s="2" t="s">
        <v>17</v>
      </c>
      <c r="B11" s="2" t="s">
        <v>86</v>
      </c>
      <c r="C11" s="3" t="s">
        <v>87</v>
      </c>
      <c r="D11" s="2" t="s">
        <v>20</v>
      </c>
      <c r="E11" s="2" t="s">
        <v>88</v>
      </c>
      <c r="F11" s="2" t="s">
        <v>89</v>
      </c>
      <c r="G11" s="2" t="s">
        <v>52</v>
      </c>
      <c r="H11" s="2" t="s">
        <v>53</v>
      </c>
      <c r="I11" s="2" t="s">
        <v>90</v>
      </c>
      <c r="J11" s="2"/>
      <c r="K11" s="2"/>
      <c r="L11" s="2"/>
      <c r="M11" s="2"/>
      <c r="N11" s="2"/>
      <c r="O11" s="2" t="s">
        <v>91</v>
      </c>
      <c r="P11" s="2" t="s">
        <v>92</v>
      </c>
      <c r="Q11" s="4" t="s">
        <v>27</v>
      </c>
    </row>
    <row r="12" customFormat="false" ht="23.85" hidden="false" customHeight="false" outlineLevel="0" collapsed="false">
      <c r="A12" s="2" t="s">
        <v>17</v>
      </c>
      <c r="B12" s="2" t="s">
        <v>93</v>
      </c>
      <c r="C12" s="3" t="s">
        <v>94</v>
      </c>
      <c r="D12" s="2" t="s">
        <v>20</v>
      </c>
      <c r="E12" s="2" t="s">
        <v>95</v>
      </c>
      <c r="F12" s="2" t="s">
        <v>96</v>
      </c>
      <c r="G12" s="2" t="s">
        <v>52</v>
      </c>
      <c r="H12" s="2" t="s">
        <v>60</v>
      </c>
      <c r="I12" s="2" t="s">
        <v>97</v>
      </c>
      <c r="J12" s="2"/>
      <c r="K12" s="2"/>
      <c r="L12" s="2"/>
      <c r="M12" s="2"/>
      <c r="N12" s="2"/>
      <c r="O12" s="2"/>
      <c r="P12" s="2" t="s">
        <v>92</v>
      </c>
      <c r="Q12" s="5" t="s">
        <v>38</v>
      </c>
    </row>
    <row r="13" customFormat="false" ht="23.85" hidden="false" customHeight="false" outlineLevel="0" collapsed="false">
      <c r="A13" s="2" t="s">
        <v>17</v>
      </c>
      <c r="B13" s="2" t="s">
        <v>98</v>
      </c>
      <c r="C13" s="3" t="s">
        <v>99</v>
      </c>
      <c r="D13" s="2" t="s">
        <v>20</v>
      </c>
      <c r="E13" s="2" t="s">
        <v>100</v>
      </c>
      <c r="F13" s="2" t="s">
        <v>101</v>
      </c>
      <c r="G13" s="2" t="s">
        <v>52</v>
      </c>
      <c r="H13" s="2" t="s">
        <v>60</v>
      </c>
      <c r="I13" s="2" t="s">
        <v>102</v>
      </c>
      <c r="J13" s="2" t="s">
        <v>103</v>
      </c>
      <c r="K13" s="2"/>
      <c r="L13" s="2"/>
      <c r="M13" s="2"/>
      <c r="N13" s="2"/>
      <c r="O13" s="2" t="s">
        <v>104</v>
      </c>
      <c r="P13" s="2" t="s">
        <v>105</v>
      </c>
      <c r="Q13" s="5" t="s">
        <v>38</v>
      </c>
    </row>
    <row r="14" customFormat="false" ht="35.05" hidden="false" customHeight="false" outlineLevel="0" collapsed="false">
      <c r="A14" s="2" t="s">
        <v>17</v>
      </c>
      <c r="B14" s="2" t="s">
        <v>106</v>
      </c>
      <c r="C14" s="3" t="s">
        <v>107</v>
      </c>
      <c r="D14" s="2" t="s">
        <v>20</v>
      </c>
      <c r="E14" s="2" t="s">
        <v>108</v>
      </c>
      <c r="F14" s="2" t="s">
        <v>22</v>
      </c>
      <c r="G14" s="2" t="s">
        <v>109</v>
      </c>
      <c r="H14" s="2" t="s">
        <v>24</v>
      </c>
      <c r="I14" s="2" t="s">
        <v>110</v>
      </c>
      <c r="J14" s="2"/>
      <c r="K14" s="2"/>
      <c r="L14" s="2"/>
      <c r="M14" s="2"/>
      <c r="N14" s="2"/>
      <c r="O14" s="2"/>
      <c r="P14" s="2" t="s">
        <v>111</v>
      </c>
      <c r="Q14" s="4" t="s">
        <v>27</v>
      </c>
    </row>
    <row r="15" customFormat="false" ht="23.85" hidden="false" customHeight="false" outlineLevel="0" collapsed="false">
      <c r="A15" s="2" t="s">
        <v>17</v>
      </c>
      <c r="B15" s="2" t="s">
        <v>112</v>
      </c>
      <c r="C15" s="3" t="s">
        <v>113</v>
      </c>
      <c r="D15" s="2" t="s">
        <v>20</v>
      </c>
      <c r="E15" s="2" t="s">
        <v>114</v>
      </c>
      <c r="F15" s="2" t="s">
        <v>115</v>
      </c>
      <c r="G15" s="2" t="s">
        <v>52</v>
      </c>
      <c r="H15" s="2" t="s">
        <v>60</v>
      </c>
      <c r="I15" s="2" t="s">
        <v>116</v>
      </c>
      <c r="J15" s="2"/>
      <c r="K15" s="2"/>
      <c r="L15" s="2"/>
      <c r="M15" s="2"/>
      <c r="N15" s="2"/>
      <c r="O15" s="2" t="s">
        <v>117</v>
      </c>
      <c r="P15" s="2" t="s">
        <v>92</v>
      </c>
      <c r="Q15" s="5" t="s">
        <v>38</v>
      </c>
    </row>
    <row r="16" customFormat="false" ht="23.85" hidden="false" customHeight="false" outlineLevel="0" collapsed="false">
      <c r="A16" s="2" t="s">
        <v>17</v>
      </c>
      <c r="B16" s="2" t="s">
        <v>118</v>
      </c>
      <c r="C16" s="3" t="s">
        <v>119</v>
      </c>
      <c r="D16" s="2" t="s">
        <v>20</v>
      </c>
      <c r="E16" s="2" t="s">
        <v>120</v>
      </c>
      <c r="F16" s="2" t="s">
        <v>121</v>
      </c>
      <c r="G16" s="2" t="s">
        <v>52</v>
      </c>
      <c r="H16" s="2" t="s">
        <v>60</v>
      </c>
      <c r="I16" s="2" t="s">
        <v>122</v>
      </c>
      <c r="J16" s="2"/>
      <c r="K16" s="2"/>
      <c r="L16" s="2"/>
      <c r="M16" s="2"/>
      <c r="N16" s="2"/>
      <c r="O16" s="2"/>
      <c r="P16" s="2" t="s">
        <v>123</v>
      </c>
      <c r="Q16" s="5" t="s">
        <v>38</v>
      </c>
    </row>
    <row r="17" customFormat="false" ht="23.85" hidden="false" customHeight="false" outlineLevel="0" collapsed="false">
      <c r="A17" s="2" t="s">
        <v>17</v>
      </c>
      <c r="B17" s="2" t="s">
        <v>124</v>
      </c>
      <c r="C17" s="2"/>
      <c r="D17" s="2" t="s">
        <v>125</v>
      </c>
      <c r="E17" s="2"/>
      <c r="F17" s="2" t="s">
        <v>126</v>
      </c>
      <c r="G17" s="2" t="s">
        <v>127</v>
      </c>
      <c r="H17" s="2" t="s">
        <v>24</v>
      </c>
      <c r="I17" s="2" t="s">
        <v>128</v>
      </c>
      <c r="J17" s="2"/>
      <c r="K17" s="2"/>
      <c r="L17" s="2"/>
      <c r="M17" s="2"/>
      <c r="N17" s="2"/>
      <c r="O17" s="2"/>
      <c r="P17" s="2" t="s">
        <v>129</v>
      </c>
      <c r="Q17" s="5" t="s">
        <v>38</v>
      </c>
    </row>
    <row r="18" customFormat="false" ht="23.85" hidden="false" customHeight="false" outlineLevel="0" collapsed="false">
      <c r="A18" s="2" t="s">
        <v>17</v>
      </c>
      <c r="B18" s="2" t="s">
        <v>130</v>
      </c>
      <c r="C18" s="2"/>
      <c r="D18" s="2" t="s">
        <v>125</v>
      </c>
      <c r="E18" s="2" t="s">
        <v>131</v>
      </c>
      <c r="F18" s="2" t="s">
        <v>74</v>
      </c>
      <c r="G18" s="2" t="s">
        <v>127</v>
      </c>
      <c r="H18" s="2" t="s">
        <v>24</v>
      </c>
      <c r="I18" s="2" t="s">
        <v>132</v>
      </c>
      <c r="J18" s="2"/>
      <c r="K18" s="2"/>
      <c r="L18" s="2"/>
      <c r="M18" s="2"/>
      <c r="N18" s="2"/>
      <c r="O18" s="2" t="s">
        <v>133</v>
      </c>
      <c r="P18" s="2" t="s">
        <v>134</v>
      </c>
      <c r="Q18" s="5" t="s">
        <v>38</v>
      </c>
    </row>
    <row r="19" customFormat="false" ht="23.85" hidden="false" customHeight="false" outlineLevel="0" collapsed="false">
      <c r="A19" s="2" t="s">
        <v>17</v>
      </c>
      <c r="B19" s="2" t="s">
        <v>135</v>
      </c>
      <c r="C19" s="3" t="s">
        <v>136</v>
      </c>
      <c r="D19" s="2" t="s">
        <v>125</v>
      </c>
      <c r="E19" s="2" t="s">
        <v>137</v>
      </c>
      <c r="F19" s="2" t="s">
        <v>22</v>
      </c>
      <c r="G19" s="2" t="s">
        <v>52</v>
      </c>
      <c r="H19" s="2" t="s">
        <v>60</v>
      </c>
      <c r="I19" s="2" t="s">
        <v>138</v>
      </c>
      <c r="J19" s="2"/>
      <c r="K19" s="2"/>
      <c r="L19" s="2"/>
      <c r="M19" s="2"/>
      <c r="N19" s="2"/>
      <c r="O19" s="2" t="s">
        <v>139</v>
      </c>
      <c r="P19" s="2" t="s">
        <v>140</v>
      </c>
      <c r="Q19" s="5" t="s">
        <v>38</v>
      </c>
    </row>
    <row r="20" customFormat="false" ht="23.85" hidden="false" customHeight="false" outlineLevel="0" collapsed="false">
      <c r="A20" s="2" t="s">
        <v>17</v>
      </c>
      <c r="B20" s="2" t="s">
        <v>141</v>
      </c>
      <c r="C20" s="3" t="s">
        <v>142</v>
      </c>
      <c r="D20" s="2" t="s">
        <v>125</v>
      </c>
      <c r="E20" s="2" t="s">
        <v>143</v>
      </c>
      <c r="F20" s="2" t="s">
        <v>96</v>
      </c>
      <c r="G20" s="2" t="s">
        <v>52</v>
      </c>
      <c r="H20" s="2" t="s">
        <v>144</v>
      </c>
      <c r="I20" s="2" t="s">
        <v>145</v>
      </c>
      <c r="J20" s="2"/>
      <c r="K20" s="2"/>
      <c r="L20" s="2"/>
      <c r="M20" s="2"/>
      <c r="N20" s="2"/>
      <c r="O20" s="2"/>
      <c r="P20" s="2" t="s">
        <v>146</v>
      </c>
      <c r="Q20" s="5" t="s">
        <v>38</v>
      </c>
    </row>
    <row r="21" customFormat="false" ht="35.05" hidden="false" customHeight="false" outlineLevel="0" collapsed="false">
      <c r="A21" s="2" t="s">
        <v>17</v>
      </c>
      <c r="B21" s="2" t="s">
        <v>147</v>
      </c>
      <c r="C21" s="2"/>
      <c r="D21" s="2" t="s">
        <v>148</v>
      </c>
      <c r="E21" s="2"/>
      <c r="F21" s="2" t="s">
        <v>149</v>
      </c>
      <c r="G21" s="2" t="s">
        <v>150</v>
      </c>
      <c r="H21" s="2" t="s">
        <v>24</v>
      </c>
      <c r="I21" s="2" t="s">
        <v>151</v>
      </c>
      <c r="J21" s="2"/>
      <c r="K21" s="2"/>
      <c r="L21" s="2"/>
      <c r="M21" s="2"/>
      <c r="N21" s="2"/>
      <c r="O21" s="2" t="s">
        <v>152</v>
      </c>
      <c r="P21" s="2" t="s">
        <v>129</v>
      </c>
      <c r="Q21" s="5" t="s">
        <v>38</v>
      </c>
    </row>
    <row r="22" customFormat="false" ht="23.85" hidden="false" customHeight="false" outlineLevel="0" collapsed="false">
      <c r="A22" s="2" t="s">
        <v>17</v>
      </c>
      <c r="B22" s="2" t="s">
        <v>153</v>
      </c>
      <c r="C22" s="2"/>
      <c r="D22" s="2" t="s">
        <v>148</v>
      </c>
      <c r="E22" s="2" t="s">
        <v>154</v>
      </c>
      <c r="F22" s="2" t="s">
        <v>126</v>
      </c>
      <c r="G22" s="2" t="s">
        <v>127</v>
      </c>
      <c r="H22" s="2" t="s">
        <v>24</v>
      </c>
      <c r="I22" s="2" t="s">
        <v>132</v>
      </c>
      <c r="J22" s="2"/>
      <c r="K22" s="2"/>
      <c r="L22" s="2"/>
      <c r="M22" s="2"/>
      <c r="N22" s="2"/>
      <c r="O22" s="2"/>
      <c r="P22" s="2" t="s">
        <v>129</v>
      </c>
      <c r="Q22" s="5" t="s">
        <v>38</v>
      </c>
    </row>
    <row r="23" customFormat="false" ht="23.85" hidden="false" customHeight="false" outlineLevel="0" collapsed="false">
      <c r="A23" s="2" t="s">
        <v>17</v>
      </c>
      <c r="B23" s="2" t="s">
        <v>155</v>
      </c>
      <c r="C23" s="3" t="s">
        <v>156</v>
      </c>
      <c r="D23" s="2" t="s">
        <v>148</v>
      </c>
      <c r="E23" s="2" t="s">
        <v>157</v>
      </c>
      <c r="F23" s="2" t="s">
        <v>158</v>
      </c>
      <c r="G23" s="2" t="s">
        <v>52</v>
      </c>
      <c r="H23" s="2" t="s">
        <v>159</v>
      </c>
      <c r="I23" s="2" t="s">
        <v>160</v>
      </c>
      <c r="J23" s="2"/>
      <c r="K23" s="2"/>
      <c r="L23" s="2"/>
      <c r="M23" s="2"/>
      <c r="N23" s="2"/>
      <c r="O23" s="2" t="s">
        <v>161</v>
      </c>
      <c r="P23" s="2" t="s">
        <v>162</v>
      </c>
      <c r="Q23" s="5" t="s">
        <v>38</v>
      </c>
    </row>
    <row r="24" customFormat="false" ht="23.85" hidden="false" customHeight="false" outlineLevel="0" collapsed="false">
      <c r="A24" s="2" t="s">
        <v>17</v>
      </c>
      <c r="B24" s="2" t="s">
        <v>163</v>
      </c>
      <c r="C24" s="3" t="s">
        <v>164</v>
      </c>
      <c r="D24" s="2" t="s">
        <v>148</v>
      </c>
      <c r="E24" s="2" t="s">
        <v>165</v>
      </c>
      <c r="F24" s="2" t="s">
        <v>166</v>
      </c>
      <c r="G24" s="2" t="s">
        <v>52</v>
      </c>
      <c r="H24" s="2" t="s">
        <v>53</v>
      </c>
      <c r="I24" s="2" t="s">
        <v>167</v>
      </c>
      <c r="J24" s="2"/>
      <c r="K24" s="2"/>
      <c r="L24" s="2"/>
      <c r="M24" s="2"/>
      <c r="N24" s="2"/>
      <c r="O24" s="2" t="s">
        <v>168</v>
      </c>
      <c r="P24" s="2" t="s">
        <v>169</v>
      </c>
      <c r="Q24" s="4" t="s">
        <v>27</v>
      </c>
    </row>
    <row r="25" customFormat="false" ht="23.85" hidden="false" customHeight="false" outlineLevel="0" collapsed="false">
      <c r="A25" s="2" t="s">
        <v>17</v>
      </c>
      <c r="B25" s="2" t="s">
        <v>170</v>
      </c>
      <c r="C25" s="2"/>
      <c r="D25" s="2" t="s">
        <v>148</v>
      </c>
      <c r="E25" s="2" t="s">
        <v>171</v>
      </c>
      <c r="F25" s="2" t="s">
        <v>172</v>
      </c>
      <c r="G25" s="2" t="s">
        <v>109</v>
      </c>
      <c r="H25" s="2" t="s">
        <v>24</v>
      </c>
      <c r="I25" s="2" t="s">
        <v>173</v>
      </c>
      <c r="J25" s="2"/>
      <c r="K25" s="2"/>
      <c r="L25" s="2"/>
      <c r="M25" s="2"/>
      <c r="N25" s="2"/>
      <c r="O25" s="2" t="s">
        <v>174</v>
      </c>
      <c r="P25" s="2" t="s">
        <v>129</v>
      </c>
      <c r="Q25" s="5" t="s">
        <v>38</v>
      </c>
    </row>
    <row r="26" customFormat="false" ht="23.85" hidden="false" customHeight="false" outlineLevel="0" collapsed="false">
      <c r="A26" s="2" t="s">
        <v>17</v>
      </c>
      <c r="B26" s="2" t="s">
        <v>175</v>
      </c>
      <c r="C26" s="2"/>
      <c r="D26" s="2" t="s">
        <v>148</v>
      </c>
      <c r="E26" s="2" t="s">
        <v>176</v>
      </c>
      <c r="F26" s="2" t="s">
        <v>22</v>
      </c>
      <c r="G26" s="2" t="s">
        <v>177</v>
      </c>
      <c r="H26" s="2" t="s">
        <v>24</v>
      </c>
      <c r="I26" s="2" t="s">
        <v>178</v>
      </c>
      <c r="J26" s="2"/>
      <c r="K26" s="2"/>
      <c r="L26" s="2"/>
      <c r="M26" s="2"/>
      <c r="N26" s="2"/>
      <c r="O26" s="2" t="s">
        <v>179</v>
      </c>
      <c r="P26" s="2" t="s">
        <v>129</v>
      </c>
      <c r="Q26" s="4" t="s">
        <v>27</v>
      </c>
    </row>
    <row r="27" customFormat="false" ht="23.85" hidden="false" customHeight="false" outlineLevel="0" collapsed="false">
      <c r="A27" s="2" t="s">
        <v>17</v>
      </c>
      <c r="B27" s="2" t="s">
        <v>180</v>
      </c>
      <c r="C27" s="3" t="s">
        <v>181</v>
      </c>
      <c r="D27" s="2" t="s">
        <v>182</v>
      </c>
      <c r="E27" s="2"/>
      <c r="F27" s="2" t="s">
        <v>183</v>
      </c>
      <c r="G27" s="2" t="s">
        <v>52</v>
      </c>
      <c r="H27" s="2" t="s">
        <v>159</v>
      </c>
      <c r="I27" s="2" t="s">
        <v>184</v>
      </c>
      <c r="J27" s="2"/>
      <c r="K27" s="2"/>
      <c r="L27" s="2"/>
      <c r="M27" s="2"/>
      <c r="N27" s="2"/>
      <c r="O27" s="2" t="s">
        <v>185</v>
      </c>
      <c r="P27" s="2" t="s">
        <v>186</v>
      </c>
      <c r="Q27" s="5" t="s">
        <v>38</v>
      </c>
    </row>
    <row r="28" customFormat="false" ht="23.85" hidden="false" customHeight="false" outlineLevel="0" collapsed="false">
      <c r="A28" s="2" t="s">
        <v>17</v>
      </c>
      <c r="B28" s="2" t="s">
        <v>187</v>
      </c>
      <c r="C28" s="2"/>
      <c r="D28" s="2" t="s">
        <v>188</v>
      </c>
      <c r="E28" s="2"/>
      <c r="F28" s="2" t="s">
        <v>126</v>
      </c>
      <c r="G28" s="2" t="s">
        <v>189</v>
      </c>
      <c r="H28" s="2" t="s">
        <v>190</v>
      </c>
      <c r="I28" s="2" t="s">
        <v>191</v>
      </c>
      <c r="J28" s="2"/>
      <c r="K28" s="2"/>
      <c r="L28" s="2"/>
      <c r="M28" s="2"/>
      <c r="N28" s="2"/>
      <c r="O28" s="2"/>
      <c r="P28" s="2" t="s">
        <v>192</v>
      </c>
      <c r="Q28" s="5" t="s">
        <v>38</v>
      </c>
    </row>
    <row r="29" customFormat="false" ht="15" hidden="false" customHeight="false" outlineLevel="0" collapsed="false">
      <c r="A29" s="2" t="s">
        <v>17</v>
      </c>
      <c r="B29" s="2" t="s">
        <v>193</v>
      </c>
      <c r="C29" s="2"/>
      <c r="D29" s="2" t="s">
        <v>188</v>
      </c>
      <c r="E29" s="2"/>
      <c r="F29" s="2" t="s">
        <v>194</v>
      </c>
      <c r="G29" s="2" t="s">
        <v>195</v>
      </c>
      <c r="H29" s="2" t="s">
        <v>196</v>
      </c>
      <c r="I29" s="2" t="s">
        <v>197</v>
      </c>
      <c r="J29" s="2"/>
      <c r="K29" s="2"/>
      <c r="L29" s="2"/>
      <c r="M29" s="2"/>
      <c r="N29" s="2"/>
      <c r="O29" s="2"/>
      <c r="P29" s="2" t="s">
        <v>129</v>
      </c>
      <c r="Q29" s="5" t="s">
        <v>38</v>
      </c>
    </row>
    <row r="30" customFormat="false" ht="35.05" hidden="false" customHeight="false" outlineLevel="0" collapsed="false">
      <c r="A30" s="2" t="s">
        <v>17</v>
      </c>
      <c r="B30" s="2" t="s">
        <v>198</v>
      </c>
      <c r="C30" s="2"/>
      <c r="D30" s="2" t="s">
        <v>188</v>
      </c>
      <c r="E30" s="2" t="s">
        <v>199</v>
      </c>
      <c r="F30" s="2" t="s">
        <v>101</v>
      </c>
      <c r="G30" s="2" t="s">
        <v>200</v>
      </c>
      <c r="H30" s="2" t="s">
        <v>24</v>
      </c>
      <c r="I30" s="2" t="s">
        <v>201</v>
      </c>
      <c r="J30" s="2"/>
      <c r="K30" s="2"/>
      <c r="L30" s="2"/>
      <c r="M30" s="2"/>
      <c r="N30" s="2"/>
      <c r="O30" s="2" t="s">
        <v>202</v>
      </c>
      <c r="P30" s="2" t="s">
        <v>203</v>
      </c>
      <c r="Q30" s="5" t="s">
        <v>38</v>
      </c>
    </row>
    <row r="31" customFormat="false" ht="23.85" hidden="false" customHeight="false" outlineLevel="0" collapsed="false">
      <c r="A31" s="2" t="s">
        <v>17</v>
      </c>
      <c r="B31" s="2" t="s">
        <v>204</v>
      </c>
      <c r="C31" s="3" t="s">
        <v>205</v>
      </c>
      <c r="D31" s="2" t="s">
        <v>188</v>
      </c>
      <c r="E31" s="2"/>
      <c r="F31" s="2" t="s">
        <v>183</v>
      </c>
      <c r="G31" s="2" t="s">
        <v>52</v>
      </c>
      <c r="H31" s="2" t="s">
        <v>159</v>
      </c>
      <c r="I31" s="2" t="s">
        <v>206</v>
      </c>
      <c r="J31" s="2" t="s">
        <v>207</v>
      </c>
      <c r="K31" s="2"/>
      <c r="L31" s="2"/>
      <c r="M31" s="2"/>
      <c r="N31" s="2"/>
      <c r="O31" s="2" t="s">
        <v>208</v>
      </c>
      <c r="P31" s="2" t="s">
        <v>209</v>
      </c>
      <c r="Q31" s="5" t="s">
        <v>38</v>
      </c>
    </row>
    <row r="32" customFormat="false" ht="23.85" hidden="false" customHeight="false" outlineLevel="0" collapsed="false">
      <c r="A32" s="2" t="s">
        <v>17</v>
      </c>
      <c r="B32" s="2" t="s">
        <v>210</v>
      </c>
      <c r="C32" s="3" t="s">
        <v>211</v>
      </c>
      <c r="D32" s="2" t="s">
        <v>188</v>
      </c>
      <c r="E32" s="2" t="s">
        <v>212</v>
      </c>
      <c r="F32" s="2" t="s">
        <v>22</v>
      </c>
      <c r="G32" s="2" t="s">
        <v>52</v>
      </c>
      <c r="H32" s="2" t="s">
        <v>53</v>
      </c>
      <c r="I32" s="2" t="s">
        <v>213</v>
      </c>
      <c r="J32" s="2"/>
      <c r="K32" s="2"/>
      <c r="L32" s="2"/>
      <c r="M32" s="2"/>
      <c r="N32" s="2"/>
      <c r="O32" s="2" t="s">
        <v>214</v>
      </c>
      <c r="P32" s="2" t="s">
        <v>92</v>
      </c>
      <c r="Q32" s="4" t="s">
        <v>27</v>
      </c>
    </row>
    <row r="33" customFormat="false" ht="23.85" hidden="false" customHeight="false" outlineLevel="0" collapsed="false">
      <c r="A33" s="2" t="s">
        <v>17</v>
      </c>
      <c r="B33" s="2" t="s">
        <v>215</v>
      </c>
      <c r="C33" s="3" t="s">
        <v>216</v>
      </c>
      <c r="D33" s="2" t="s">
        <v>188</v>
      </c>
      <c r="E33" s="2" t="s">
        <v>217</v>
      </c>
      <c r="F33" s="2" t="s">
        <v>218</v>
      </c>
      <c r="G33" s="2" t="s">
        <v>52</v>
      </c>
      <c r="H33" s="2" t="s">
        <v>60</v>
      </c>
      <c r="I33" s="2" t="s">
        <v>219</v>
      </c>
      <c r="J33" s="2"/>
      <c r="K33" s="2"/>
      <c r="L33" s="2"/>
      <c r="M33" s="2"/>
      <c r="N33" s="2"/>
      <c r="O33" s="2"/>
      <c r="P33" s="2" t="s">
        <v>92</v>
      </c>
      <c r="Q33" s="5" t="s">
        <v>38</v>
      </c>
    </row>
    <row r="34" customFormat="false" ht="23.85" hidden="false" customHeight="false" outlineLevel="0" collapsed="false">
      <c r="A34" s="6" t="s">
        <v>220</v>
      </c>
      <c r="B34" s="2" t="s">
        <v>221</v>
      </c>
      <c r="C34" s="3" t="s">
        <v>222</v>
      </c>
      <c r="D34" s="2"/>
      <c r="E34" s="2"/>
      <c r="F34" s="2" t="s">
        <v>22</v>
      </c>
      <c r="G34" s="2" t="s">
        <v>52</v>
      </c>
      <c r="H34" s="2" t="s">
        <v>53</v>
      </c>
      <c r="I34" s="2" t="s">
        <v>223</v>
      </c>
      <c r="J34" s="2"/>
      <c r="K34" s="2"/>
      <c r="L34" s="2"/>
      <c r="M34" s="2"/>
      <c r="N34" s="2"/>
      <c r="O34" s="2"/>
      <c r="P34" s="2" t="s">
        <v>224</v>
      </c>
      <c r="Q34" s="5" t="s">
        <v>38</v>
      </c>
    </row>
    <row r="35" customFormat="false" ht="35.05" hidden="false" customHeight="false" outlineLevel="0" collapsed="false">
      <c r="A35" s="6" t="s">
        <v>220</v>
      </c>
      <c r="B35" s="2" t="s">
        <v>225</v>
      </c>
      <c r="C35" s="3" t="s">
        <v>226</v>
      </c>
      <c r="D35" s="2"/>
      <c r="E35" s="2"/>
      <c r="F35" s="2" t="s">
        <v>227</v>
      </c>
      <c r="G35" s="2" t="s">
        <v>52</v>
      </c>
      <c r="H35" s="2" t="s">
        <v>228</v>
      </c>
      <c r="I35" s="2" t="s">
        <v>229</v>
      </c>
      <c r="J35" s="2" t="s">
        <v>230</v>
      </c>
      <c r="K35" s="2"/>
      <c r="L35" s="2"/>
      <c r="M35" s="2"/>
      <c r="N35" s="2"/>
      <c r="O35" s="2"/>
      <c r="P35" s="2" t="s">
        <v>231</v>
      </c>
      <c r="Q35" s="5" t="s">
        <v>38</v>
      </c>
    </row>
    <row r="36" customFormat="false" ht="23.85" hidden="false" customHeight="false" outlineLevel="0" collapsed="false">
      <c r="A36" s="6" t="s">
        <v>220</v>
      </c>
      <c r="B36" s="2" t="s">
        <v>232</v>
      </c>
      <c r="C36" s="3" t="s">
        <v>233</v>
      </c>
      <c r="D36" s="2"/>
      <c r="E36" s="2"/>
      <c r="F36" s="2" t="s">
        <v>234</v>
      </c>
      <c r="G36" s="2" t="s">
        <v>52</v>
      </c>
      <c r="H36" s="2" t="s">
        <v>144</v>
      </c>
      <c r="I36" s="2" t="s">
        <v>235</v>
      </c>
      <c r="J36" s="2"/>
      <c r="K36" s="2"/>
      <c r="L36" s="2"/>
      <c r="M36" s="2"/>
      <c r="N36" s="2"/>
      <c r="O36" s="2" t="s">
        <v>236</v>
      </c>
      <c r="P36" s="2" t="s">
        <v>237</v>
      </c>
      <c r="Q36" s="5" t="s">
        <v>38</v>
      </c>
    </row>
    <row r="37" customFormat="false" ht="23.85" hidden="false" customHeight="false" outlineLevel="0" collapsed="false">
      <c r="A37" s="6" t="s">
        <v>220</v>
      </c>
      <c r="B37" s="2" t="s">
        <v>238</v>
      </c>
      <c r="C37" s="3" t="s">
        <v>239</v>
      </c>
      <c r="D37" s="2" t="s">
        <v>20</v>
      </c>
      <c r="E37" s="2" t="s">
        <v>240</v>
      </c>
      <c r="F37" s="2" t="s">
        <v>96</v>
      </c>
      <c r="G37" s="2" t="s">
        <v>52</v>
      </c>
      <c r="H37" s="2" t="s">
        <v>241</v>
      </c>
      <c r="I37" s="2" t="s">
        <v>242</v>
      </c>
      <c r="J37" s="2"/>
      <c r="K37" s="2"/>
      <c r="L37" s="2"/>
      <c r="M37" s="2"/>
      <c r="N37" s="2"/>
      <c r="O37" s="2"/>
      <c r="P37" s="2" t="s">
        <v>243</v>
      </c>
      <c r="Q37" s="5" t="s">
        <v>38</v>
      </c>
    </row>
    <row r="38" customFormat="false" ht="23.85" hidden="false" customHeight="false" outlineLevel="0" collapsed="false">
      <c r="A38" s="6" t="s">
        <v>220</v>
      </c>
      <c r="B38" s="2" t="s">
        <v>244</v>
      </c>
      <c r="C38" s="3" t="s">
        <v>245</v>
      </c>
      <c r="D38" s="2" t="s">
        <v>246</v>
      </c>
      <c r="E38" s="2"/>
      <c r="F38" s="2" t="s">
        <v>247</v>
      </c>
      <c r="G38" s="2" t="s">
        <v>52</v>
      </c>
      <c r="H38" s="2" t="s">
        <v>228</v>
      </c>
      <c r="I38" s="2" t="s">
        <v>248</v>
      </c>
      <c r="J38" s="2"/>
      <c r="K38" s="2"/>
      <c r="L38" s="2"/>
      <c r="M38" s="2"/>
      <c r="N38" s="2"/>
      <c r="O38" s="2"/>
      <c r="P38" s="2" t="s">
        <v>249</v>
      </c>
      <c r="Q38" s="5" t="s">
        <v>38</v>
      </c>
    </row>
    <row r="39" customFormat="false" ht="15" hidden="false" customHeight="false" outlineLevel="0" collapsed="false">
      <c r="A39" s="6" t="s">
        <v>220</v>
      </c>
      <c r="B39" s="2" t="s">
        <v>250</v>
      </c>
      <c r="C39" s="3" t="s">
        <v>251</v>
      </c>
      <c r="D39" s="2" t="s">
        <v>125</v>
      </c>
      <c r="E39" s="2" t="s">
        <v>252</v>
      </c>
      <c r="F39" s="2" t="s">
        <v>183</v>
      </c>
      <c r="G39" s="2" t="s">
        <v>52</v>
      </c>
      <c r="H39" s="2" t="s">
        <v>60</v>
      </c>
      <c r="I39" s="2" t="s">
        <v>253</v>
      </c>
      <c r="J39" s="2"/>
      <c r="K39" s="2"/>
      <c r="L39" s="2"/>
      <c r="M39" s="2"/>
      <c r="N39" s="2"/>
      <c r="O39" s="2" t="s">
        <v>254</v>
      </c>
      <c r="P39" s="2" t="s">
        <v>255</v>
      </c>
      <c r="Q39" s="5" t="s">
        <v>38</v>
      </c>
    </row>
    <row r="40" customFormat="false" ht="15" hidden="false" customHeight="false" outlineLevel="0" collapsed="false">
      <c r="A40" s="6" t="s">
        <v>220</v>
      </c>
      <c r="B40" s="2" t="s">
        <v>256</v>
      </c>
      <c r="C40" s="3" t="s">
        <v>257</v>
      </c>
      <c r="D40" s="2"/>
      <c r="E40" s="2"/>
      <c r="F40" s="2" t="s">
        <v>22</v>
      </c>
      <c r="G40" s="2" t="s">
        <v>52</v>
      </c>
      <c r="H40" s="2" t="s">
        <v>60</v>
      </c>
      <c r="I40" s="2" t="s">
        <v>258</v>
      </c>
      <c r="J40" s="2"/>
      <c r="K40" s="2"/>
      <c r="L40" s="2"/>
      <c r="M40" s="2"/>
      <c r="N40" s="2"/>
      <c r="O40" s="2"/>
      <c r="P40" s="2" t="s">
        <v>259</v>
      </c>
      <c r="Q40" s="5" t="s">
        <v>38</v>
      </c>
    </row>
    <row r="41" customFormat="false" ht="23.85" hidden="false" customHeight="false" outlineLevel="0" collapsed="false">
      <c r="A41" s="6" t="s">
        <v>220</v>
      </c>
      <c r="B41" s="2" t="s">
        <v>260</v>
      </c>
      <c r="C41" s="2"/>
      <c r="D41" s="2" t="s">
        <v>20</v>
      </c>
      <c r="E41" s="2"/>
      <c r="F41" s="2" t="s">
        <v>22</v>
      </c>
      <c r="G41" s="2" t="s">
        <v>261</v>
      </c>
      <c r="H41" s="2" t="s">
        <v>24</v>
      </c>
      <c r="I41" s="2" t="s">
        <v>262</v>
      </c>
      <c r="J41" s="2"/>
      <c r="K41" s="2"/>
      <c r="L41" s="2"/>
      <c r="M41" s="2"/>
      <c r="N41" s="2"/>
      <c r="O41" s="2"/>
      <c r="P41" s="2" t="s">
        <v>263</v>
      </c>
      <c r="Q41" s="5" t="s">
        <v>38</v>
      </c>
    </row>
    <row r="42" customFormat="false" ht="15" hidden="false" customHeight="false" outlineLevel="0" collapsed="false">
      <c r="A42" s="6" t="s">
        <v>220</v>
      </c>
      <c r="B42" s="2" t="s">
        <v>264</v>
      </c>
      <c r="C42" s="2"/>
      <c r="D42" s="2"/>
      <c r="E42" s="2"/>
      <c r="F42" s="2" t="s">
        <v>265</v>
      </c>
      <c r="G42" s="2" t="s">
        <v>195</v>
      </c>
      <c r="H42" s="2" t="s">
        <v>196</v>
      </c>
      <c r="I42" s="2" t="s">
        <v>266</v>
      </c>
      <c r="J42" s="2"/>
      <c r="K42" s="2"/>
      <c r="L42" s="2"/>
      <c r="M42" s="2"/>
      <c r="N42" s="2"/>
      <c r="O42" s="2"/>
      <c r="P42" s="2" t="s">
        <v>267</v>
      </c>
      <c r="Q42" s="5" t="s">
        <v>38</v>
      </c>
    </row>
    <row r="43" customFormat="false" ht="15" hidden="false" customHeight="false" outlineLevel="0" collapsed="false">
      <c r="A43" s="6" t="s">
        <v>220</v>
      </c>
      <c r="B43" s="2" t="s">
        <v>268</v>
      </c>
      <c r="C43" s="3" t="s">
        <v>269</v>
      </c>
      <c r="D43" s="2" t="s">
        <v>148</v>
      </c>
      <c r="E43" s="2" t="s">
        <v>270</v>
      </c>
      <c r="F43" s="2" t="s">
        <v>22</v>
      </c>
      <c r="G43" s="2" t="s">
        <v>52</v>
      </c>
      <c r="H43" s="2" t="s">
        <v>60</v>
      </c>
      <c r="I43" s="2" t="s">
        <v>271</v>
      </c>
      <c r="J43" s="2"/>
      <c r="K43" s="2"/>
      <c r="L43" s="2"/>
      <c r="M43" s="2"/>
      <c r="N43" s="2"/>
      <c r="O43" s="2" t="s">
        <v>272</v>
      </c>
      <c r="P43" s="2" t="s">
        <v>273</v>
      </c>
      <c r="Q43" s="5" t="s">
        <v>38</v>
      </c>
    </row>
  </sheetData>
  <autoFilter ref="A1:Q43"/>
  <hyperlinks>
    <hyperlink ref="C2" r:id="rId1" display="https://muddysbakeshop.com"/>
    <hyperlink ref="C5" r:id="rId2" display="https://fujiyahawaii.com"/>
    <hyperlink ref="C6" r:id="rId3" display="https://calumet-bakery.myshopify.com"/>
    <hyperlink ref="C7" r:id="rId4" display="https://balthazar-bakery.myshopify.com"/>
    <hyperlink ref="C8" r:id="rId5" display="https://mitchellsicecream.myshopify.com"/>
    <hyperlink ref="C9" r:id="rId6" display="https://pdx-cookie-co.myshopify.com"/>
    <hyperlink ref="C10" r:id="rId7" display="https://the-cake-boutique-nj.myshopify.com"/>
    <hyperlink ref="C11" r:id="rId8" display="https://handmade-in-a-home.myshopify.com"/>
    <hyperlink ref="C12" r:id="rId9" display="https://p0s7rx-iz.myshopify.com"/>
    <hyperlink ref="C13" r:id="rId10" display="https://the-flying-cupcake-indy.myshopify.com"/>
    <hyperlink ref="C14" r:id="rId11" display="https://dbakers.us"/>
    <hyperlink ref="C15" r:id="rId12" display="https://deadkingbread.myshopify.com"/>
    <hyperlink ref="C16" r:id="rId13" display="https://pasttimebakery.myshopify.com"/>
    <hyperlink ref="C19" r:id="rId14" display="https://purebreadbakery.myshopify.com"/>
    <hyperlink ref="C20" r:id="rId15" display="https://wildcultureartisanbakery.myshopify.com"/>
    <hyperlink ref="C23" r:id="rId16" display="https://somerset-foodie.myshopify.com"/>
    <hyperlink ref="C24" r:id="rId17" display="https://singl-end-bakehouse.myshopify.com"/>
    <hyperlink ref="C27" r:id="rId18" display="https://freshlyprepd.myshopify.com"/>
    <hyperlink ref="C31" r:id="rId19" display="https://workoutmeals.myshopify.com"/>
    <hyperlink ref="C32" r:id="rId20" display="https://clementinebakery.myshopify.com"/>
    <hyperlink ref="C33" r:id="rId21" display="https://butterdreambaking.myshopify.com"/>
    <hyperlink ref="C34" r:id="rId22" display="https://bread-by-us.myshopify.com"/>
    <hyperlink ref="C35" r:id="rId23" display="https://sweetovendelights.myshopify.com"/>
    <hyperlink ref="C36" r:id="rId24" display="https://flourandrise.myshopify.com"/>
    <hyperlink ref="C37" r:id="rId25" display="https://crust-crumb-sourdough-co-nwa.myshopify.com"/>
    <hyperlink ref="C38" r:id="rId26" display="https://the-clean-pantry.myshopify.com"/>
    <hyperlink ref="C39" r:id="rId27" display="https://halal-meals.myshopify.com"/>
    <hyperlink ref="C40" r:id="rId28" display="https://betty-bakery.myshopify.com"/>
    <hyperlink ref="C43" r:id="rId29" display="https://hummingbird-bakery.myshopif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7" t="s">
        <v>274</v>
      </c>
      <c r="B1" s="8"/>
    </row>
    <row r="2" customFormat="false" ht="15" hidden="false" customHeight="false" outlineLevel="0" collapsed="false">
      <c r="A2" s="8"/>
      <c r="B2" s="8"/>
    </row>
    <row r="3" customFormat="false" ht="15" hidden="false" customHeight="false" outlineLevel="0" collapsed="false">
      <c r="A3" s="9" t="s">
        <v>275</v>
      </c>
      <c r="B3" s="9" t="s">
        <v>276</v>
      </c>
    </row>
    <row r="4" customFormat="false" ht="15" hidden="false" customHeight="false" outlineLevel="0" collapsed="false">
      <c r="A4" s="8" t="s">
        <v>17</v>
      </c>
      <c r="B4" s="8" t="n">
        <f aca="false">COUNTIF(Stores!$A$2:$A$43,A4)</f>
        <v>32</v>
      </c>
    </row>
    <row r="5" customFormat="false" ht="15" hidden="false" customHeight="false" outlineLevel="0" collapsed="false">
      <c r="A5" s="8" t="s">
        <v>220</v>
      </c>
      <c r="B5" s="8" t="n">
        <f aca="false">COUNTIF(Stores!$A$2:$A$43,A5)</f>
        <v>10</v>
      </c>
    </row>
    <row r="6" customFormat="false" ht="15" hidden="false" customHeight="false" outlineLevel="0" collapsed="false">
      <c r="A6" s="9" t="s">
        <v>277</v>
      </c>
      <c r="B6" s="8" t="n">
        <f aca="false">SUM(B4:B5)</f>
        <v>42</v>
      </c>
    </row>
    <row r="7" customFormat="false" ht="15" hidden="false" customHeight="false" outlineLevel="0" collapsed="false">
      <c r="A7" s="8"/>
      <c r="B7" s="8"/>
    </row>
    <row r="8" customFormat="false" ht="15" hidden="false" customHeight="false" outlineLevel="0" collapsed="false">
      <c r="A8" s="9" t="s">
        <v>278</v>
      </c>
      <c r="B8" s="9" t="s">
        <v>276</v>
      </c>
    </row>
    <row r="9" customFormat="false" ht="15" hidden="false" customHeight="false" outlineLevel="0" collapsed="false">
      <c r="A9" s="8" t="s">
        <v>24</v>
      </c>
      <c r="B9" s="8" t="n">
        <f aca="false">COUNTIFS(Stores!$A$2:$A$43,"main",Stores!$H$2:$H$43,A9)</f>
        <v>11</v>
      </c>
    </row>
    <row r="10" customFormat="false" ht="15" hidden="false" customHeight="false" outlineLevel="0" collapsed="false">
      <c r="A10" s="8" t="s">
        <v>190</v>
      </c>
      <c r="B10" s="8" t="n">
        <f aca="false">COUNTIFS(Stores!$A$2:$A$43,"main",Stores!$H$2:$H$43,A10)</f>
        <v>1</v>
      </c>
    </row>
    <row r="11" customFormat="false" ht="15" hidden="false" customHeight="false" outlineLevel="0" collapsed="false">
      <c r="A11" s="8" t="s">
        <v>44</v>
      </c>
      <c r="B11" s="8" t="n">
        <f aca="false">COUNTIFS(Stores!$A$2:$A$43,"main",Stores!$H$2:$H$43,A11)</f>
        <v>1</v>
      </c>
    </row>
    <row r="12" customFormat="false" ht="15" hidden="false" customHeight="false" outlineLevel="0" collapsed="false">
      <c r="A12" s="8" t="s">
        <v>196</v>
      </c>
      <c r="B12" s="8" t="n">
        <f aca="false">COUNTIFS(Stores!$A$2:$A$43,"main",Stores!$H$2:$H$43,A12)</f>
        <v>1</v>
      </c>
    </row>
    <row r="13" customFormat="false" ht="15" hidden="false" customHeight="false" outlineLevel="0" collapsed="false">
      <c r="A13" s="8" t="s">
        <v>53</v>
      </c>
      <c r="B13" s="8" t="n">
        <f aca="false">COUNTIFS(Stores!$A$2:$A$43,"main",Stores!$H$2:$H$43,A13)</f>
        <v>6</v>
      </c>
    </row>
    <row r="14" customFormat="false" ht="15" hidden="false" customHeight="false" outlineLevel="0" collapsed="false">
      <c r="A14" s="8" t="s">
        <v>159</v>
      </c>
      <c r="B14" s="8" t="n">
        <f aca="false">COUNTIFS(Stores!$A$2:$A$43,"main",Stores!$H$2:$H$43,A14)</f>
        <v>3</v>
      </c>
    </row>
    <row r="15" customFormat="false" ht="15" hidden="false" customHeight="false" outlineLevel="0" collapsed="false">
      <c r="A15" s="8" t="s">
        <v>144</v>
      </c>
      <c r="B15" s="8" t="n">
        <f aca="false">COUNTIFS(Stores!$A$2:$A$43,"main",Stores!$H$2:$H$43,A15)</f>
        <v>1</v>
      </c>
    </row>
    <row r="16" customFormat="false" ht="15" hidden="false" customHeight="false" outlineLevel="0" collapsed="false">
      <c r="A16" s="8" t="s">
        <v>60</v>
      </c>
      <c r="B16" s="8" t="n">
        <f aca="false">COUNTIFS(Stores!$A$2:$A$43,"main",Stores!$H$2:$H$43,A16)</f>
        <v>8</v>
      </c>
    </row>
    <row r="17" customFormat="false" ht="15" hidden="false" customHeight="false" outlineLevel="0" collapsed="false">
      <c r="A17" s="9" t="s">
        <v>277</v>
      </c>
      <c r="B17" s="8" t="n">
        <f aca="false">SUM(B9:B16)</f>
        <v>32</v>
      </c>
    </row>
    <row r="18" customFormat="false" ht="15" hidden="false" customHeight="false" outlineLevel="0" collapsed="false">
      <c r="A18" s="8"/>
      <c r="B18" s="8"/>
    </row>
    <row r="19" customFormat="false" ht="15" hidden="false" customHeight="false" outlineLevel="0" collapsed="false">
      <c r="A19" s="9" t="s">
        <v>279</v>
      </c>
      <c r="B19" s="9" t="s">
        <v>276</v>
      </c>
    </row>
    <row r="20" customFormat="false" ht="15" hidden="false" customHeight="false" outlineLevel="0" collapsed="false">
      <c r="A20" s="8" t="s">
        <v>20</v>
      </c>
      <c r="B20" s="8" t="n">
        <f aca="false">COUNTIFS(Stores!$A$2:$A$43,"main",Stores!$D$2:$D$43,A20)</f>
        <v>15</v>
      </c>
    </row>
    <row r="21" customFormat="false" ht="15" hidden="false" customHeight="false" outlineLevel="0" collapsed="false">
      <c r="A21" s="8" t="s">
        <v>148</v>
      </c>
      <c r="B21" s="8" t="n">
        <f aca="false">COUNTIFS(Stores!$A$2:$A$43,"main",Stores!$D$2:$D$43,A21)</f>
        <v>6</v>
      </c>
    </row>
    <row r="22" customFormat="false" ht="15" hidden="false" customHeight="false" outlineLevel="0" collapsed="false">
      <c r="A22" s="8" t="s">
        <v>188</v>
      </c>
      <c r="B22" s="8" t="n">
        <f aca="false">COUNTIFS(Stores!$A$2:$A$43,"main",Stores!$D$2:$D$43,A22)</f>
        <v>6</v>
      </c>
    </row>
    <row r="23" customFormat="false" ht="15" hidden="false" customHeight="false" outlineLevel="0" collapsed="false">
      <c r="A23" s="8" t="s">
        <v>125</v>
      </c>
      <c r="B23" s="8" t="n">
        <f aca="false">COUNTIFS(Stores!$A$2:$A$43,"main",Stores!$D$2:$D$43,A23)</f>
        <v>4</v>
      </c>
    </row>
    <row r="24" customFormat="false" ht="15" hidden="false" customHeight="false" outlineLevel="0" collapsed="false">
      <c r="A24" s="8" t="s">
        <v>182</v>
      </c>
      <c r="B24" s="8" t="n">
        <f aca="false">COUNTIFS(Stores!$A$2:$A$43,"main",Stores!$D$2:$D$43,A24)</f>
        <v>1</v>
      </c>
    </row>
    <row r="25" customFormat="false" ht="15" hidden="false" customHeight="false" outlineLevel="0" collapsed="false">
      <c r="A25" s="8" t="s">
        <v>280</v>
      </c>
      <c r="B25" s="8" t="n">
        <f aca="false">COUNTIFS(Stores!$A$2:$A$43,"main",Stores!$D$2:$D$43,A25)</f>
        <v>0</v>
      </c>
    </row>
    <row r="26" customFormat="false" ht="15" hidden="false" customHeight="false" outlineLevel="0" collapsed="false">
      <c r="A26" s="8"/>
      <c r="B26" s="8"/>
    </row>
    <row r="27" customFormat="false" ht="15" hidden="false" customHeight="false" outlineLevel="0" collapsed="false">
      <c r="A27" s="9" t="s">
        <v>281</v>
      </c>
      <c r="B27" s="9" t="s">
        <v>276</v>
      </c>
    </row>
    <row r="28" customFormat="false" ht="15" hidden="false" customHeight="false" outlineLevel="0" collapsed="false">
      <c r="A28" s="8" t="s">
        <v>282</v>
      </c>
      <c r="B28" s="8" t="n">
        <f aca="false">COUNTIFS(Stores!$A$2:$A$43,"main",Stores!$Q$2:$Q$43,A28)</f>
        <v>0</v>
      </c>
    </row>
    <row r="29" customFormat="false" ht="15" hidden="false" customHeight="false" outlineLevel="0" collapsed="false">
      <c r="A29" s="8" t="s">
        <v>27</v>
      </c>
      <c r="B29" s="8" t="n">
        <f aca="false">COUNTIFS(Stores!$A$2:$A$43,"main",Stores!$Q$2:$Q$43,A29)</f>
        <v>11</v>
      </c>
    </row>
    <row r="30" customFormat="false" ht="15" hidden="false" customHeight="false" outlineLevel="0" collapsed="false">
      <c r="A30" s="8" t="s">
        <v>38</v>
      </c>
      <c r="B30" s="8" t="n">
        <f aca="false">COUNTIFS(Stores!$A$2:$A$43,"main",Stores!$Q$2:$Q$43,A30)</f>
        <v>21</v>
      </c>
    </row>
    <row r="31" customFormat="false" ht="15" hidden="false" customHeight="false" outlineLevel="0" collapsed="false">
      <c r="A31" s="8"/>
      <c r="B31" s="8"/>
    </row>
    <row r="32" customFormat="false" ht="15" hidden="false" customHeight="false" outlineLevel="0" collapsed="false">
      <c r="A32" s="9" t="s">
        <v>283</v>
      </c>
      <c r="B32" s="8"/>
    </row>
    <row r="33" customFormat="false" ht="15" hidden="false" customHeight="false" outlineLevel="0" collapsed="false">
      <c r="A33" s="8" t="s">
        <v>284</v>
      </c>
      <c r="B33" s="8"/>
    </row>
    <row r="34" customFormat="false" ht="15" hidden="false" customHeight="false" outlineLevel="0" collapsed="false">
      <c r="A34" s="8" t="s">
        <v>285</v>
      </c>
      <c r="B34" s="8"/>
    </row>
    <row r="35" customFormat="false" ht="15" hidden="false" customHeight="false" outlineLevel="0" collapsed="false">
      <c r="A35" s="8" t="s">
        <v>286</v>
      </c>
      <c r="B35" s="8"/>
    </row>
    <row r="36" customFormat="false" ht="15" hidden="false" customHeight="false" outlineLevel="0" collapsed="false">
      <c r="A36" s="8" t="s">
        <v>287</v>
      </c>
      <c r="B3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2026-10-25T16:57:50Z</dcterms:created>
  <dc:creator>openpyxl</dc:creator>
  <dc:description/>
  <dc:language>en-US</dc:language>
  <cp:lastModifiedBy/>
  <dcterms:modified xsi:type="dcterms:W3CDTF">2026-10-25T16:57:50Z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